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ese" sheetId="1" state="visible" r:id="rId3"/>
    <sheet name="Hypotheses" sheetId="2" state="visible" r:id="rId4"/>
    <sheet name="Exposition" sheetId="3" state="visible" r:id="rId5"/>
    <sheet name="Triangle_paie" sheetId="4" state="visible" r:id="rId6"/>
    <sheet name="BC_sans_clause" sheetId="5" state="visible" r:id="rId7"/>
    <sheet name="BC_avec_clause" sheetId="6" state="visible" r:id="rId8"/>
    <sheet name="Pareto_GPD" sheetId="7" state="visible" r:id="rId9"/>
    <sheet name="Prime_commercial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<sst xmlns="http://schemas.openxmlformats.org/spreadsheetml/2006/main" count="151" uniqueCount="136">
  <si>
    <t xml:space="preserve">Synthèse — Tarification du traité XL MTPL 2024</t>
  </si>
  <si>
    <t xml:space="preserve">Préparé par :</t>
  </si>
  <si>
    <t xml:space="preserve">Steve (candidat Pricing Actuary)</t>
  </si>
  <si>
    <t xml:space="preserve">Date :</t>
  </si>
  <si>
    <t xml:space="preserve">Mai 2026</t>
  </si>
  <si>
    <t xml:space="preserve">Cédante :</t>
  </si>
  <si>
    <t xml:space="preserve">Portefeuille Motor Third Party Liability</t>
  </si>
  <si>
    <t xml:space="preserve">Programme de réassurance proposé</t>
  </si>
  <si>
    <t xml:space="preserve">Couche</t>
  </si>
  <si>
    <t xml:space="preserve">Priorité (€)</t>
  </si>
  <si>
    <t xml:space="preserve">Portée (€)</t>
  </si>
  <si>
    <t xml:space="preserve">Plafond (€)</t>
  </si>
  <si>
    <t xml:space="preserve">Couche 1 : 8 XS 2</t>
  </si>
  <si>
    <t xml:space="preserve">Couche 2 : 20 XS 10</t>
  </si>
  <si>
    <t xml:space="preserve">Estimation de la prime pure 2024 — comparaison des méthodes</t>
  </si>
  <si>
    <t xml:space="preserve">Méthode</t>
  </si>
  <si>
    <t xml:space="preserve">Prime pure Couche 1 (€)</t>
  </si>
  <si>
    <t xml:space="preserve">Prime pure Couche 2 (€)</t>
  </si>
  <si>
    <t xml:space="preserve">BC1 (%)</t>
  </si>
  <si>
    <t xml:space="preserve">BC2 (%)</t>
  </si>
  <si>
    <t xml:space="preserve">BC sans clause de stabilité</t>
  </si>
  <si>
    <t xml:space="preserve">BC avec clause - méthode A (as-if simple, 1% sup.)</t>
  </si>
  <si>
    <t xml:space="preserve">BC avec clause - méthode B (par paiement, 1% sup.) [REFERENCE]</t>
  </si>
  <si>
    <t xml:space="preserve">Modèle Pareto/GPD</t>
  </si>
  <si>
    <t xml:space="preserve">Recommandation finale — Prime commerciale</t>
  </si>
  <si>
    <t xml:space="preserve">Prime pure (€)</t>
  </si>
  <si>
    <t xml:space="preserve">Chargement sécurité (€)</t>
  </si>
  <si>
    <t xml:space="preserve">Prime technique (€)</t>
  </si>
  <si>
    <t xml:space="preserve">Prime commerciale (€)</t>
  </si>
  <si>
    <t xml:space="preserve">Taux de prime (% prime cédante)</t>
  </si>
  <si>
    <t xml:space="preserve">Couche 1 (8 XS 2)</t>
  </si>
  <si>
    <t xml:space="preserve">Couche 2 (20 XS 10)</t>
  </si>
  <si>
    <t xml:space="preserve">Hypothèses &amp; paramètres</t>
  </si>
  <si>
    <t xml:space="preserve">Programme XL</t>
  </si>
  <si>
    <t xml:space="preserve">Branche</t>
  </si>
  <si>
    <t xml:space="preserve">Motor Third Party Liability (RC corporelle auto)</t>
  </si>
  <si>
    <t xml:space="preserve">Date d'effet du traité</t>
  </si>
  <si>
    <t xml:space="preserve">01/01/2024</t>
  </si>
  <si>
    <t xml:space="preserve">Priorité Couche 1</t>
  </si>
  <si>
    <t xml:space="preserve">Portée Couche 1</t>
  </si>
  <si>
    <t xml:space="preserve">Priorité Couche 2</t>
  </si>
  <si>
    <t xml:space="preserve">Portée Couche 2</t>
  </si>
  <si>
    <t xml:space="preserve">Période historique</t>
  </si>
  <si>
    <t xml:space="preserve">2014 - 2023 (10 années)</t>
  </si>
  <si>
    <t xml:space="preserve">Nombre de sinistres observés</t>
  </si>
  <si>
    <t xml:space="preserve">Paramètres de tarification</t>
  </si>
  <si>
    <t xml:space="preserve">Méthode retenue pour prime pure</t>
  </si>
  <si>
    <t xml:space="preserve">Burning Cost avec clause de stabilité, indexation par paiement</t>
  </si>
  <si>
    <t xml:space="preserve">Indice d'inflation des sinistres</t>
  </si>
  <si>
    <t xml:space="preserve">CPI + 1 % superimposed (paramètre énoncé)</t>
  </si>
  <si>
    <t xml:space="preserve">Coefficient chargement sécurité (k)</t>
  </si>
  <si>
    <t xml:space="preserve">Frais de gestion</t>
  </si>
  <si>
    <t xml:space="preserve">Coût du capital</t>
  </si>
  <si>
    <t xml:space="preserve">Exposition par année</t>
  </si>
  <si>
    <t xml:space="preserve">Année</t>
  </si>
  <si>
    <t xml:space="preserve">Prime émise (€)</t>
  </si>
  <si>
    <t xml:space="preserve">Nombre de risques</t>
  </si>
  <si>
    <t xml:space="preserve">Prime moyenne (€)</t>
  </si>
  <si>
    <t xml:space="preserve">Triangle agrégé des paiements cumulés (€)</t>
  </si>
  <si>
    <t xml:space="preserve">Année surv.</t>
  </si>
  <si>
    <t xml:space="preserve">Dev 0</t>
  </si>
  <si>
    <t xml:space="preserve">Dev 1</t>
  </si>
  <si>
    <t xml:space="preserve">Dev 2</t>
  </si>
  <si>
    <t xml:space="preserve">Dev 3</t>
  </si>
  <si>
    <t xml:space="preserve">Dev 4</t>
  </si>
  <si>
    <t xml:space="preserve">Dev 5</t>
  </si>
  <si>
    <t xml:space="preserve">Dev 6</t>
  </si>
  <si>
    <t xml:space="preserve">Dev 7</t>
  </si>
  <si>
    <t xml:space="preserve">Dev 8</t>
  </si>
  <si>
    <t xml:space="preserve">Dev 9</t>
  </si>
  <si>
    <t xml:space="preserve">Facteurs de développement (link ratios)</t>
  </si>
  <si>
    <t xml:space="preserve">Transition dev</t>
  </si>
  <si>
    <t xml:space="preserve">0.0→1.0</t>
  </si>
  <si>
    <t xml:space="preserve">1.0→2.0</t>
  </si>
  <si>
    <t xml:space="preserve">2.0→3.0</t>
  </si>
  <si>
    <t xml:space="preserve">3.0→4.0</t>
  </si>
  <si>
    <t xml:space="preserve">4.0→5.0</t>
  </si>
  <si>
    <t xml:space="preserve">5.0→6.0</t>
  </si>
  <si>
    <t xml:space="preserve">6.0→7.0</t>
  </si>
  <si>
    <t xml:space="preserve">7.0→8.0</t>
  </si>
  <si>
    <t xml:space="preserve">8.0→9.0</t>
  </si>
  <si>
    <t xml:space="preserve">Facteur</t>
  </si>
  <si>
    <t xml:space="preserve">Comparaison ultime CL vs incurred observé</t>
  </si>
  <si>
    <t xml:space="preserve">Ultime CL (€)</t>
  </si>
  <si>
    <t xml:space="preserve">Incurred observé (€)</t>
  </si>
  <si>
    <t xml:space="preserve">Écart (%)</t>
  </si>
  <si>
    <t xml:space="preserve">Burning Cost SANS clause de stabilité</t>
  </si>
  <si>
    <t xml:space="preserve">Nb sin.</t>
  </si>
  <si>
    <t xml:space="preserve">Coût Couche 1 (€)</t>
  </si>
  <si>
    <t xml:space="preserve">Coût Couche 2 (€)</t>
  </si>
  <si>
    <t xml:space="preserve">BC Couche 1</t>
  </si>
  <si>
    <t xml:space="preserve">BC Couche 2</t>
  </si>
  <si>
    <t xml:space="preserve">TOTAL</t>
  </si>
  <si>
    <t xml:space="preserve">Prime estimée 2024 (€)</t>
  </si>
  <si>
    <t xml:space="preserve">Burning Cost AVEC clause de stabilité (indexation)</t>
  </si>
  <si>
    <t xml:space="preserve">Indice (base 100 en 2014)</t>
  </si>
  <si>
    <t xml:space="preserve">Méthode B : Indexation par paiement [REFERENCE]</t>
  </si>
  <si>
    <t xml:space="preserve">Coût Couche 1 indexé (€)</t>
  </si>
  <si>
    <t xml:space="preserve">Coût Couche 2 indexé (€)</t>
  </si>
  <si>
    <t xml:space="preserve">Prime indexée (€)</t>
  </si>
  <si>
    <t xml:space="preserve">Modélisation Pareto / GPD de la sévérité</t>
  </si>
  <si>
    <t xml:space="preserve">Paramètre</t>
  </si>
  <si>
    <t xml:space="preserve">Valeur</t>
  </si>
  <si>
    <t xml:space="preserve">Seuil de modélisation</t>
  </si>
  <si>
    <t xml:space="preserve">2 000 000 €</t>
  </si>
  <si>
    <t xml:space="preserve">Nombre d'excédents (&gt;2M)</t>
  </si>
  <si>
    <t xml:space="preserve">Shape c (GPD)</t>
  </si>
  <si>
    <t xml:space="preserve">Scale sigma (GPD)</t>
  </si>
  <si>
    <t xml:space="preserve">Fréquence (sinistres/an)</t>
  </si>
  <si>
    <t xml:space="preserve">E[coût Couche 1 | X &gt; 2M] (M€)</t>
  </si>
  <si>
    <t xml:space="preserve">E[coût Couche 2 | X &gt; 2M] (M€)</t>
  </si>
  <si>
    <t xml:space="preserve">Charge annuelle Couche 1 (M€)</t>
  </si>
  <si>
    <t xml:space="preserve">Charge annuelle Couche 2 (M€)</t>
  </si>
  <si>
    <t xml:space="preserve">Prime pure 2024 Couche 1 (M€)</t>
  </si>
  <si>
    <t xml:space="preserve">Prime pure 2024 Couche 2 (M€)</t>
  </si>
  <si>
    <t xml:space="preserve">Construction de la prime commerciale</t>
  </si>
  <si>
    <t xml:space="preserve">Poste</t>
  </si>
  <si>
    <t xml:space="preserve">Couche 1 (€)</t>
  </si>
  <si>
    <t xml:space="preserve">Couche 2 (€)</t>
  </si>
  <si>
    <t xml:space="preserve">Commentaire</t>
  </si>
  <si>
    <t xml:space="preserve">Prime pure</t>
  </si>
  <si>
    <t xml:space="preserve">BC indexé × prime 2024</t>
  </si>
  <si>
    <t xml:space="preserve">+ Chargement sécurité (k=0.3, k×σ)</t>
  </si>
  <si>
    <t xml:space="preserve">Volatilité historique</t>
  </si>
  <si>
    <t xml:space="preserve">Prime technique</t>
  </si>
  <si>
    <t xml:space="preserve">Couvre la moyenne et la volatilité</t>
  </si>
  <si>
    <t xml:space="preserve">+ Coût du capital (6% prime technique)</t>
  </si>
  <si>
    <t xml:space="preserve">Proxy du SCR alloué</t>
  </si>
  <si>
    <t xml:space="preserve">Prime brute</t>
  </si>
  <si>
    <t xml:space="preserve">/ (1 - frais 5%)</t>
  </si>
  <si>
    <t xml:space="preserve">Frais de gestion réassureur</t>
  </si>
  <si>
    <t xml:space="preserve">PRIME COMMERCIALE</t>
  </si>
  <si>
    <t xml:space="preserve">Recommandation finale</t>
  </si>
  <si>
    <t xml:space="preserve">Prime émise estimée 2024</t>
  </si>
  <si>
    <t xml:space="preserve">Taux de prime commerciale Couche 1</t>
  </si>
  <si>
    <t xml:space="preserve">Taux de prime commerciale Couche 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</si>
</sst>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00%"/>
    <numFmt numFmtId="167" formatCode="#,##0.00"/>
    <numFmt numFmtId="168" formatCode="#,##0.00;\(#,##0\);\-"/>
    <numFmt numFmtId="169" formatCode="0.0000"/>
    <numFmt numFmtId="170" formatCode="0.00%"/>
    <numFmt numFmtId="171" formatCode="0.00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4472C4"/>
      </patternFill>
    </fill>
    <fill>
      <patternFill patternType="solid">
        <fgColor rgb="FF4472C4"/>
        <bgColor rgb="FF666699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2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0" t="s">
        <v>2</v>
      </c>
    </row>
    <row r="4" customFormat="false" ht="15" hidden="false" customHeight="false" outlineLevel="0" collapsed="false">
      <c r="A4" s="2" t="s">
        <v>3</v>
      </c>
      <c r="B4" s="0" t="s">
        <v>4</v>
      </c>
    </row>
    <row r="5" customFormat="false" ht="15" hidden="false" customHeight="false" outlineLevel="0" collapsed="false">
      <c r="A5" s="2" t="s">
        <v>5</v>
      </c>
      <c r="B5" s="0" t="s">
        <v>6</v>
      </c>
    </row>
    <row r="7" customFormat="false" ht="24" hidden="false" customHeight="true" outlineLevel="0" collapsed="false">
      <c r="A7" s="1" t="s">
        <v>7</v>
      </c>
      <c r="B7" s="1"/>
      <c r="C7" s="1"/>
      <c r="D7" s="1"/>
      <c r="E7" s="1"/>
      <c r="F7" s="1"/>
      <c r="G7" s="1"/>
      <c r="H7" s="1"/>
    </row>
    <row r="9" customFormat="false" ht="15" hidden="false" customHeight="false" outlineLevel="0" collapsed="false">
      <c r="A9" s="3" t="s">
        <v>8</v>
      </c>
      <c r="B9" s="3" t="s">
        <v>9</v>
      </c>
      <c r="C9" s="3" t="s">
        <v>10</v>
      </c>
      <c r="D9" s="3" t="s">
        <v>11</v>
      </c>
    </row>
    <row r="10" customFormat="false" ht="15" hidden="false" customHeight="false" outlineLevel="0" collapsed="false">
      <c r="A10" s="4" t="s">
        <v>12</v>
      </c>
      <c r="B10" s="5" t="n">
        <v>2000000</v>
      </c>
      <c r="C10" s="5" t="n">
        <v>8000000</v>
      </c>
      <c r="D10" s="5" t="n">
        <f aca="false">B10+C10</f>
        <v>10000000</v>
      </c>
    </row>
    <row r="11" customFormat="false" ht="15" hidden="false" customHeight="false" outlineLevel="0" collapsed="false">
      <c r="A11" s="4" t="s">
        <v>13</v>
      </c>
      <c r="B11" s="5" t="n">
        <v>10000000</v>
      </c>
      <c r="C11" s="5" t="n">
        <v>20000000</v>
      </c>
      <c r="D11" s="5" t="n">
        <f aca="false">B11+C11</f>
        <v>30000000</v>
      </c>
    </row>
    <row r="13" customFormat="false" ht="24" hidden="false" customHeight="true" outlineLevel="0" collapsed="false">
      <c r="A13" s="1" t="s">
        <v>14</v>
      </c>
      <c r="B13" s="1"/>
      <c r="C13" s="1"/>
      <c r="D13" s="1"/>
      <c r="E13" s="1"/>
      <c r="F13" s="1"/>
      <c r="G13" s="1"/>
      <c r="H13" s="1"/>
    </row>
    <row r="15" customFormat="false" ht="15" hidden="false" customHeight="false" outlineLevel="0" collapsed="false">
      <c r="A15" s="3" t="s">
        <v>15</v>
      </c>
      <c r="B15" s="3" t="s">
        <v>16</v>
      </c>
      <c r="C15" s="3" t="s">
        <v>17</v>
      </c>
      <c r="D15" s="3" t="s">
        <v>18</v>
      </c>
      <c r="E15" s="3" t="s">
        <v>19</v>
      </c>
    </row>
    <row r="16" customFormat="false" ht="15" hidden="false" customHeight="false" outlineLevel="0" collapsed="false">
      <c r="A16" s="4" t="s">
        <v>20</v>
      </c>
      <c r="B16" s="5" t="n">
        <v>7539639.67233179</v>
      </c>
      <c r="C16" s="5" t="n">
        <v>2040294.57680518</v>
      </c>
      <c r="D16" s="6" t="n">
        <v>0.0328252355843185</v>
      </c>
      <c r="E16" s="6" t="n">
        <v>0.0088828051545764</v>
      </c>
    </row>
    <row r="17" customFormat="false" ht="15" hidden="false" customHeight="false" outlineLevel="0" collapsed="false">
      <c r="A17" s="4" t="s">
        <v>21</v>
      </c>
      <c r="B17" s="5" t="n">
        <v>10051815.5376055</v>
      </c>
      <c r="C17" s="5" t="n">
        <v>2204862.29491663</v>
      </c>
      <c r="D17" s="6" t="n">
        <v>0.0437624644428091</v>
      </c>
      <c r="E17" s="6" t="n">
        <v>0.0095992815846643</v>
      </c>
    </row>
    <row r="18" customFormat="false" ht="15" hidden="false" customHeight="false" outlineLevel="0" collapsed="false">
      <c r="A18" s="4" t="s">
        <v>22</v>
      </c>
      <c r="B18" s="5" t="n">
        <v>8706136.17897036</v>
      </c>
      <c r="C18" s="5" t="n">
        <v>2016822.23710575</v>
      </c>
      <c r="D18" s="6" t="n">
        <v>0.0379037969350963</v>
      </c>
      <c r="E18" s="6" t="n">
        <v>0.0087806139207994</v>
      </c>
    </row>
    <row r="19" customFormat="false" ht="15" hidden="false" customHeight="false" outlineLevel="0" collapsed="false">
      <c r="A19" s="4" t="s">
        <v>23</v>
      </c>
      <c r="B19" s="5" t="n">
        <v>6346700.61737152</v>
      </c>
      <c r="C19" s="5" t="n">
        <v>978182.264679432</v>
      </c>
      <c r="D19" s="6" t="n">
        <v>0.027631551639564</v>
      </c>
      <c r="E19" s="6" t="n">
        <v>0.00425869997482082</v>
      </c>
    </row>
    <row r="22" customFormat="false" ht="24" hidden="false" customHeight="true" outlineLevel="0" collapsed="false">
      <c r="A22" s="1" t="s">
        <v>24</v>
      </c>
      <c r="B22" s="1"/>
      <c r="C22" s="1"/>
      <c r="D22" s="1"/>
      <c r="E22" s="1"/>
      <c r="F22" s="1"/>
      <c r="G22" s="1"/>
      <c r="H22" s="1"/>
    </row>
    <row r="24" customFormat="false" ht="23.85" hidden="false" customHeight="false" outlineLevel="0" collapsed="false">
      <c r="A24" s="3" t="s">
        <v>8</v>
      </c>
      <c r="B24" s="3" t="s">
        <v>25</v>
      </c>
      <c r="C24" s="3" t="s">
        <v>26</v>
      </c>
      <c r="D24" s="3" t="s">
        <v>27</v>
      </c>
      <c r="E24" s="3" t="s">
        <v>28</v>
      </c>
      <c r="F24" s="3" t="s">
        <v>29</v>
      </c>
    </row>
    <row r="25" customFormat="false" ht="15" hidden="false" customHeight="false" outlineLevel="0" collapsed="false">
      <c r="A25" s="4" t="s">
        <v>30</v>
      </c>
      <c r="B25" s="5" t="n">
        <v>8706136.17897036</v>
      </c>
      <c r="C25" s="5" t="n">
        <v>1493177.90413779</v>
      </c>
      <c r="D25" s="5" t="n">
        <f aca="false">B25+C25</f>
        <v>10199314.0831081</v>
      </c>
      <c r="E25" s="5" t="n">
        <v>11380287.2927312</v>
      </c>
      <c r="F25" s="6" t="n">
        <v>0.0495462154212037</v>
      </c>
    </row>
    <row r="26" customFormat="false" ht="15" hidden="false" customHeight="false" outlineLevel="0" collapsed="false">
      <c r="A26" s="4" t="s">
        <v>31</v>
      </c>
      <c r="B26" s="5" t="n">
        <v>2016822.23710575</v>
      </c>
      <c r="C26" s="5" t="n">
        <v>1299656.46332291</v>
      </c>
      <c r="D26" s="5" t="n">
        <f aca="false">B26+C26</f>
        <v>3316478.70042866</v>
      </c>
      <c r="E26" s="5" t="n">
        <v>3700492.02363619</v>
      </c>
      <c r="F26" s="6" t="n">
        <v>0.0161107861560429</v>
      </c>
    </row>
  </sheetData>
  <mergeCells count="4">
    <mergeCell ref="A1:H1"/>
    <mergeCell ref="A7:H7"/>
    <mergeCell ref="A13:H13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8"/>
  </cols>
  <sheetData>
    <row r="1" customFormat="false" ht="24" hidden="false" customHeight="true" outlineLevel="0" collapsed="false">
      <c r="A1" s="1" t="s">
        <v>32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33</v>
      </c>
    </row>
    <row r="4" customFormat="false" ht="15" hidden="false" customHeight="false" outlineLevel="0" collapsed="false">
      <c r="A4" s="2" t="s">
        <v>34</v>
      </c>
      <c r="B4" s="0" t="s">
        <v>35</v>
      </c>
    </row>
    <row r="5" customFormat="false" ht="15" hidden="false" customHeight="false" outlineLevel="0" collapsed="false">
      <c r="A5" s="2" t="s">
        <v>36</v>
      </c>
      <c r="B5" s="0" t="s">
        <v>37</v>
      </c>
    </row>
    <row r="6" customFormat="false" ht="15" hidden="false" customHeight="false" outlineLevel="0" collapsed="false">
      <c r="A6" s="2" t="s">
        <v>38</v>
      </c>
      <c r="B6" s="7" t="n">
        <v>2000000</v>
      </c>
    </row>
    <row r="7" customFormat="false" ht="15" hidden="false" customHeight="false" outlineLevel="0" collapsed="false">
      <c r="A7" s="2" t="s">
        <v>39</v>
      </c>
      <c r="B7" s="7" t="n">
        <v>8000000</v>
      </c>
    </row>
    <row r="8" customFormat="false" ht="15" hidden="false" customHeight="false" outlineLevel="0" collapsed="false">
      <c r="A8" s="2" t="s">
        <v>40</v>
      </c>
      <c r="B8" s="7" t="n">
        <v>10000000</v>
      </c>
    </row>
    <row r="9" customFormat="false" ht="15" hidden="false" customHeight="false" outlineLevel="0" collapsed="false">
      <c r="A9" s="2" t="s">
        <v>41</v>
      </c>
      <c r="B9" s="7" t="n">
        <v>20000000</v>
      </c>
    </row>
    <row r="10" customFormat="false" ht="15" hidden="false" customHeight="false" outlineLevel="0" collapsed="false">
      <c r="A10" s="2" t="s">
        <v>42</v>
      </c>
      <c r="B10" s="0" t="s">
        <v>43</v>
      </c>
    </row>
    <row r="11" customFormat="false" ht="15" hidden="false" customHeight="false" outlineLevel="0" collapsed="false">
      <c r="A11" s="2" t="s">
        <v>44</v>
      </c>
      <c r="B11" s="7" t="n">
        <v>114</v>
      </c>
    </row>
    <row r="12" customFormat="false" ht="15" hidden="false" customHeight="false" outlineLevel="0" collapsed="false">
      <c r="A12" s="8"/>
    </row>
    <row r="13" customFormat="false" ht="15" hidden="false" customHeight="false" outlineLevel="0" collapsed="false">
      <c r="A13" s="2" t="s">
        <v>45</v>
      </c>
    </row>
    <row r="14" customFormat="false" ht="15" hidden="false" customHeight="false" outlineLevel="0" collapsed="false">
      <c r="A14" s="2" t="s">
        <v>46</v>
      </c>
      <c r="B14" s="0" t="s">
        <v>47</v>
      </c>
    </row>
    <row r="15" customFormat="false" ht="15" hidden="false" customHeight="false" outlineLevel="0" collapsed="false">
      <c r="A15" s="2" t="s">
        <v>48</v>
      </c>
      <c r="B15" s="0" t="s">
        <v>49</v>
      </c>
    </row>
    <row r="16" customFormat="false" ht="15" hidden="false" customHeight="false" outlineLevel="0" collapsed="false">
      <c r="A16" s="2" t="s">
        <v>50</v>
      </c>
      <c r="B16" s="9" t="n">
        <v>0.3</v>
      </c>
    </row>
    <row r="17" customFormat="false" ht="15" hidden="false" customHeight="false" outlineLevel="0" collapsed="false">
      <c r="A17" s="2" t="s">
        <v>51</v>
      </c>
      <c r="B17" s="9" t="n">
        <v>0.05</v>
      </c>
    </row>
    <row r="18" customFormat="false" ht="15" hidden="false" customHeight="false" outlineLevel="0" collapsed="false">
      <c r="A18" s="2" t="s">
        <v>52</v>
      </c>
      <c r="B18" s="9" t="n">
        <v>0.06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20"/>
  </cols>
  <sheetData>
    <row r="1" customFormat="false" ht="24" hidden="false" customHeight="true" outlineLevel="0" collapsed="false">
      <c r="A1" s="1" t="s">
        <v>53</v>
      </c>
      <c r="B1" s="1"/>
      <c r="C1" s="1"/>
      <c r="D1" s="1"/>
      <c r="E1" s="1"/>
    </row>
    <row r="3" customFormat="false" ht="15" hidden="false" customHeight="false" outlineLevel="0" collapsed="false">
      <c r="A3" s="3" t="s">
        <v>54</v>
      </c>
      <c r="B3" s="3" t="s">
        <v>55</v>
      </c>
      <c r="C3" s="3" t="s">
        <v>56</v>
      </c>
      <c r="D3" s="3" t="s">
        <v>57</v>
      </c>
    </row>
    <row r="4" customFormat="false" ht="15" hidden="false" customHeight="false" outlineLevel="0" collapsed="false">
      <c r="A4" s="4" t="n">
        <v>2014</v>
      </c>
      <c r="B4" s="5" t="n">
        <v>143456190</v>
      </c>
      <c r="C4" s="10" t="n">
        <v>124487</v>
      </c>
      <c r="D4" s="11" t="n">
        <f aca="false">B4/C4</f>
        <v>1152.37888293557</v>
      </c>
    </row>
    <row r="5" customFormat="false" ht="15" hidden="false" customHeight="false" outlineLevel="0" collapsed="false">
      <c r="A5" s="4" t="n">
        <v>2015</v>
      </c>
      <c r="B5" s="5" t="n">
        <v>147788566.938</v>
      </c>
      <c r="C5" s="10" t="n">
        <v>125731.87</v>
      </c>
      <c r="D5" s="11" t="n">
        <f aca="false">B5/C5</f>
        <v>1175.42646059428</v>
      </c>
    </row>
    <row r="6" customFormat="false" ht="15" hidden="false" customHeight="false" outlineLevel="0" collapsed="false">
      <c r="A6" s="4" t="n">
        <v>2016</v>
      </c>
      <c r="B6" s="5" t="n">
        <v>155266668.425063</v>
      </c>
      <c r="C6" s="10" t="n">
        <v>128246.5074</v>
      </c>
      <c r="D6" s="11" t="n">
        <f aca="false">B6/C6</f>
        <v>1210.68925441211</v>
      </c>
    </row>
    <row r="7" customFormat="false" ht="15" hidden="false" customHeight="false" outlineLevel="0" collapsed="false">
      <c r="A7" s="4" t="n">
        <v>2017</v>
      </c>
      <c r="B7" s="5" t="n">
        <v>163123161.847371</v>
      </c>
      <c r="C7" s="10" t="n">
        <v>132093.902622</v>
      </c>
      <c r="D7" s="11" t="n">
        <f aca="false">B7/C7</f>
        <v>1234.90303950035</v>
      </c>
    </row>
    <row r="8" customFormat="false" ht="15" hidden="false" customHeight="false" outlineLevel="0" collapsed="false">
      <c r="A8" s="4" t="n">
        <v>2018</v>
      </c>
      <c r="B8" s="5" t="n">
        <v>168049481.335162</v>
      </c>
      <c r="C8" s="10" t="n">
        <v>134735.78067444</v>
      </c>
      <c r="D8" s="11" t="n">
        <f aca="false">B8/C8</f>
        <v>1247.25206989536</v>
      </c>
    </row>
    <row r="9" customFormat="false" ht="15" hidden="false" customHeight="false" outlineLevel="0" collapsed="false">
      <c r="A9" s="4" t="n">
        <v>2019</v>
      </c>
      <c r="B9" s="5" t="n">
        <v>176552785.090721</v>
      </c>
      <c r="C9" s="10" t="n">
        <v>138777.854094673</v>
      </c>
      <c r="D9" s="11" t="n">
        <f aca="false">B9/C9</f>
        <v>1272.19711129326</v>
      </c>
    </row>
    <row r="10" customFormat="false" ht="15" hidden="false" customHeight="false" outlineLevel="0" collapsed="false">
      <c r="A10" s="4" t="n">
        <v>2020</v>
      </c>
      <c r="B10" s="5" t="n">
        <v>180101496.071044</v>
      </c>
      <c r="C10" s="10" t="n">
        <v>140165.63263562</v>
      </c>
      <c r="D10" s="11" t="n">
        <f aca="false">B10/C10</f>
        <v>1284.91908240619</v>
      </c>
    </row>
    <row r="11" customFormat="false" ht="15" hidden="false" customHeight="false" outlineLevel="0" collapsed="false">
      <c r="A11" s="4" t="n">
        <v>2021</v>
      </c>
      <c r="B11" s="5" t="n">
        <v>185540561.25239</v>
      </c>
      <c r="C11" s="10" t="n">
        <v>141567.288961976</v>
      </c>
      <c r="D11" s="11" t="n">
        <f aca="false">B11/C11</f>
        <v>1310.61746405432</v>
      </c>
    </row>
    <row r="12" customFormat="false" ht="15" hidden="false" customHeight="false" outlineLevel="0" collapsed="false">
      <c r="A12" s="4" t="n">
        <v>2022</v>
      </c>
      <c r="B12" s="5" t="n">
        <v>193036399.926986</v>
      </c>
      <c r="C12" s="10" t="n">
        <v>144398.634741216</v>
      </c>
      <c r="D12" s="11" t="n">
        <f aca="false">B12/C12</f>
        <v>1336.8298133354</v>
      </c>
    </row>
    <row r="13" customFormat="false" ht="15" hidden="false" customHeight="false" outlineLevel="0" collapsed="false">
      <c r="A13" s="4" t="n">
        <v>2023</v>
      </c>
      <c r="B13" s="5" t="n">
        <v>214463440.318882</v>
      </c>
      <c r="C13" s="10" t="n">
        <v>145842.621088628</v>
      </c>
      <c r="D13" s="11" t="n">
        <f aca="false">B13/C13</f>
        <v>1470.51279466894</v>
      </c>
    </row>
    <row r="14" customFormat="false" ht="15" hidden="false" customHeight="false" outlineLevel="0" collapsed="false">
      <c r="A14" s="4" t="n">
        <v>2024</v>
      </c>
      <c r="B14" s="5" t="n">
        <v>229690344.581523</v>
      </c>
      <c r="C14" s="10" t="n">
        <v>148759.4735104</v>
      </c>
      <c r="D14" s="11" t="n">
        <f aca="false">B14/C14</f>
        <v>1544.0384344024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11" min="2" style="0" width="16"/>
  </cols>
  <sheetData>
    <row r="1" customFormat="false" ht="24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3" t="s">
        <v>59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  <c r="I3" s="3" t="s">
        <v>67</v>
      </c>
      <c r="J3" s="3" t="s">
        <v>68</v>
      </c>
      <c r="K3" s="3" t="s">
        <v>69</v>
      </c>
    </row>
    <row r="4" customFormat="false" ht="15" hidden="false" customHeight="false" outlineLevel="0" collapsed="false">
      <c r="A4" s="12" t="n">
        <v>2014</v>
      </c>
      <c r="B4" s="5" t="n">
        <v>3300906.97490696</v>
      </c>
      <c r="C4" s="5" t="n">
        <v>10276349.0033139</v>
      </c>
      <c r="D4" s="5" t="n">
        <v>15280937.5440581</v>
      </c>
      <c r="E4" s="5" t="n">
        <v>19849512.8239642</v>
      </c>
      <c r="F4" s="5" t="n">
        <v>23865696.1063612</v>
      </c>
      <c r="G4" s="5" t="n">
        <v>25800363.7048824</v>
      </c>
      <c r="H4" s="5" t="n">
        <v>26840490.8813183</v>
      </c>
      <c r="I4" s="5" t="n">
        <v>27106417.5020442</v>
      </c>
      <c r="J4" s="5" t="n">
        <v>28180265.9647652</v>
      </c>
      <c r="K4" s="5" t="n">
        <v>28264306.7529879</v>
      </c>
    </row>
    <row r="5" customFormat="false" ht="15" hidden="false" customHeight="false" outlineLevel="0" collapsed="false">
      <c r="A5" s="12" t="n">
        <v>2015</v>
      </c>
      <c r="B5" s="5" t="n">
        <v>3757632.55331625</v>
      </c>
      <c r="C5" s="5" t="n">
        <v>7533812.76945675</v>
      </c>
      <c r="D5" s="5" t="n">
        <v>11609030.8642227</v>
      </c>
      <c r="E5" s="5" t="n">
        <v>18434776.640991</v>
      </c>
      <c r="F5" s="5" t="n">
        <v>23725718.9608866</v>
      </c>
      <c r="G5" s="5" t="n">
        <v>25963885.3581249</v>
      </c>
      <c r="H5" s="5" t="n">
        <v>26822807.259555</v>
      </c>
      <c r="I5" s="5" t="n">
        <v>27018464.8138768</v>
      </c>
      <c r="J5" s="5" t="n">
        <v>27113285.1133316</v>
      </c>
      <c r="K5" s="5"/>
    </row>
    <row r="6" customFormat="false" ht="15" hidden="false" customHeight="false" outlineLevel="0" collapsed="false">
      <c r="A6" s="12" t="n">
        <v>2016</v>
      </c>
      <c r="B6" s="5" t="n">
        <v>2440587.92349436</v>
      </c>
      <c r="C6" s="5" t="n">
        <v>4891239.89644719</v>
      </c>
      <c r="D6" s="5" t="n">
        <v>10755556.1823113</v>
      </c>
      <c r="E6" s="5" t="n">
        <v>13007609.2617496</v>
      </c>
      <c r="F6" s="5" t="n">
        <v>17293516.9503889</v>
      </c>
      <c r="G6" s="5" t="n">
        <v>17894263.7520685</v>
      </c>
      <c r="H6" s="5" t="n">
        <v>18044509.0495183</v>
      </c>
      <c r="I6" s="5" t="n">
        <v>18261536.5321253</v>
      </c>
      <c r="J6" s="5"/>
      <c r="K6" s="5"/>
    </row>
    <row r="7" customFormat="false" ht="15" hidden="false" customHeight="false" outlineLevel="0" collapsed="false">
      <c r="A7" s="12" t="n">
        <v>2017</v>
      </c>
      <c r="B7" s="5" t="n">
        <v>2766017.11860491</v>
      </c>
      <c r="C7" s="5" t="n">
        <v>7746386.18855697</v>
      </c>
      <c r="D7" s="5" t="n">
        <v>11680051.4080529</v>
      </c>
      <c r="E7" s="5" t="n">
        <v>17904726.4954502</v>
      </c>
      <c r="F7" s="5" t="n">
        <v>21247602.9725562</v>
      </c>
      <c r="G7" s="5" t="n">
        <v>23469366.9947337</v>
      </c>
      <c r="H7" s="5" t="n">
        <v>24333676.7275552</v>
      </c>
      <c r="I7" s="5"/>
      <c r="J7" s="5"/>
      <c r="K7" s="5"/>
    </row>
    <row r="8" customFormat="false" ht="15" hidden="false" customHeight="false" outlineLevel="0" collapsed="false">
      <c r="A8" s="12" t="n">
        <v>2018</v>
      </c>
      <c r="B8" s="5" t="n">
        <v>489760.477952359</v>
      </c>
      <c r="C8" s="5" t="n">
        <v>2440890.17629323</v>
      </c>
      <c r="D8" s="5" t="n">
        <v>4633837.56142999</v>
      </c>
      <c r="E8" s="5" t="n">
        <v>6148479.38302744</v>
      </c>
      <c r="F8" s="5" t="n">
        <v>6862299.35451215</v>
      </c>
      <c r="G8" s="5" t="n">
        <v>7891596.04280792</v>
      </c>
      <c r="H8" s="5"/>
      <c r="I8" s="5"/>
      <c r="J8" s="5"/>
      <c r="K8" s="5"/>
    </row>
    <row r="9" customFormat="false" ht="15" hidden="false" customHeight="false" outlineLevel="0" collapsed="false">
      <c r="A9" s="12" t="n">
        <v>2019</v>
      </c>
      <c r="B9" s="5" t="n">
        <v>2238629.86282666</v>
      </c>
      <c r="C9" s="5" t="n">
        <v>5171975.83948517</v>
      </c>
      <c r="D9" s="5" t="n">
        <v>9768634.48785418</v>
      </c>
      <c r="E9" s="5" t="n">
        <v>15078418.0675196</v>
      </c>
      <c r="F9" s="5" t="n">
        <v>16717135.5776564</v>
      </c>
      <c r="G9" s="5"/>
      <c r="H9" s="5"/>
      <c r="I9" s="5"/>
      <c r="J9" s="5"/>
      <c r="K9" s="5"/>
    </row>
    <row r="10" customFormat="false" ht="15" hidden="false" customHeight="false" outlineLevel="0" collapsed="false">
      <c r="A10" s="12" t="n">
        <v>2020</v>
      </c>
      <c r="B10" s="5" t="n">
        <v>987825.689301472</v>
      </c>
      <c r="C10" s="5" t="n">
        <v>8305213.4049803</v>
      </c>
      <c r="D10" s="5" t="n">
        <v>10322496.5080112</v>
      </c>
      <c r="E10" s="5" t="n">
        <v>18890867.8935009</v>
      </c>
      <c r="F10" s="5"/>
      <c r="G10" s="5"/>
      <c r="H10" s="5"/>
      <c r="I10" s="5"/>
      <c r="J10" s="5"/>
      <c r="K10" s="5"/>
    </row>
    <row r="11" customFormat="false" ht="15" hidden="false" customHeight="false" outlineLevel="0" collapsed="false">
      <c r="A11" s="12" t="n">
        <v>2021</v>
      </c>
      <c r="B11" s="5" t="n">
        <v>3144066.0600731</v>
      </c>
      <c r="C11" s="5" t="n">
        <v>7579674.19404931</v>
      </c>
      <c r="D11" s="5" t="n">
        <v>11053899.6525805</v>
      </c>
      <c r="E11" s="5"/>
      <c r="F11" s="5"/>
      <c r="G11" s="5"/>
      <c r="H11" s="5"/>
      <c r="I11" s="5"/>
      <c r="J11" s="5"/>
      <c r="K11" s="5"/>
    </row>
    <row r="12" customFormat="false" ht="15" hidden="false" customHeight="false" outlineLevel="0" collapsed="false">
      <c r="A12" s="12" t="n">
        <v>2022</v>
      </c>
      <c r="B12" s="5" t="n">
        <v>2962438.56067573</v>
      </c>
      <c r="C12" s="5" t="n">
        <v>8080349.80794001</v>
      </c>
      <c r="D12" s="5"/>
      <c r="E12" s="5"/>
      <c r="F12" s="5"/>
      <c r="G12" s="5"/>
      <c r="H12" s="5"/>
      <c r="I12" s="5"/>
      <c r="J12" s="5"/>
      <c r="K12" s="5"/>
    </row>
    <row r="13" customFormat="false" ht="15" hidden="false" customHeight="false" outlineLevel="0" collapsed="false">
      <c r="A13" s="12" t="n">
        <v>2023</v>
      </c>
      <c r="B13" s="5" t="n">
        <v>4301572.36666378</v>
      </c>
      <c r="C13" s="5"/>
      <c r="D13" s="5"/>
      <c r="E13" s="5"/>
      <c r="F13" s="5"/>
      <c r="G13" s="5"/>
      <c r="H13" s="5"/>
      <c r="I13" s="5"/>
      <c r="J13" s="5"/>
      <c r="K13" s="5"/>
    </row>
    <row r="18" customFormat="false" ht="15" hidden="false" customHeight="false" outlineLevel="0" collapsed="false">
      <c r="A18" s="13" t="s">
        <v>70</v>
      </c>
    </row>
    <row r="20" customFormat="false" ht="23.85" hidden="false" customHeight="false" outlineLevel="0" collapsed="false">
      <c r="A20" s="3" t="s">
        <v>71</v>
      </c>
      <c r="B20" s="3" t="s">
        <v>72</v>
      </c>
      <c r="C20" s="3" t="s">
        <v>73</v>
      </c>
      <c r="D20" s="3" t="s">
        <v>74</v>
      </c>
      <c r="E20" s="3" t="s">
        <v>75</v>
      </c>
      <c r="F20" s="3" t="s">
        <v>76</v>
      </c>
      <c r="G20" s="3" t="s">
        <v>77</v>
      </c>
      <c r="H20" s="3" t="s">
        <v>78</v>
      </c>
      <c r="I20" s="3" t="s">
        <v>79</v>
      </c>
      <c r="J20" s="3" t="s">
        <v>80</v>
      </c>
    </row>
    <row r="21" customFormat="false" ht="15" hidden="false" customHeight="false" outlineLevel="0" collapsed="false">
      <c r="A21" s="0" t="s">
        <v>81</v>
      </c>
      <c r="B21" s="14" t="n">
        <v>2.80814332483003</v>
      </c>
      <c r="C21" s="14" t="n">
        <v>1.57759922109178</v>
      </c>
      <c r="D21" s="14" t="n">
        <v>1.47621318954141</v>
      </c>
      <c r="E21" s="14" t="n">
        <v>1.21331227405811</v>
      </c>
      <c r="F21" s="14" t="n">
        <v>1.08629126084754</v>
      </c>
      <c r="G21" s="14" t="n">
        <v>1.03128605648585</v>
      </c>
      <c r="H21" s="14" t="n">
        <v>1.00946356727731</v>
      </c>
      <c r="I21" s="14" t="n">
        <v>1.02159207950522</v>
      </c>
      <c r="J21" s="14" t="n">
        <v>1.00298225674406</v>
      </c>
    </row>
    <row r="24" customFormat="false" ht="15" hidden="false" customHeight="false" outlineLevel="0" collapsed="false">
      <c r="A24" s="13" t="s">
        <v>82</v>
      </c>
    </row>
    <row r="26" customFormat="false" ht="23.85" hidden="false" customHeight="false" outlineLevel="0" collapsed="false">
      <c r="A26" s="3" t="s">
        <v>59</v>
      </c>
      <c r="B26" s="3" t="s">
        <v>83</v>
      </c>
      <c r="C26" s="3" t="s">
        <v>84</v>
      </c>
      <c r="D26" s="3" t="s">
        <v>85</v>
      </c>
    </row>
    <row r="27" customFormat="false" ht="15" hidden="false" customHeight="false" outlineLevel="0" collapsed="false">
      <c r="A27" s="4" t="n">
        <v>2014</v>
      </c>
      <c r="B27" s="5" t="n">
        <v>28264306.7529879</v>
      </c>
      <c r="C27" s="5" t="n">
        <v>28403801.5812559</v>
      </c>
      <c r="D27" s="15" t="n">
        <f aca="false">(B27-C27)/C27</f>
        <v>-0.00491113233096673</v>
      </c>
    </row>
    <row r="28" customFormat="false" ht="15" hidden="false" customHeight="false" outlineLevel="0" collapsed="false">
      <c r="A28" s="4" t="n">
        <v>2015</v>
      </c>
      <c r="B28" s="5" t="n">
        <v>27194143.8907143</v>
      </c>
      <c r="C28" s="5" t="n">
        <v>27540204.181167</v>
      </c>
      <c r="D28" s="15" t="n">
        <f aca="false">(B28-C28)/C28</f>
        <v>-0.0125656399704306</v>
      </c>
    </row>
    <row r="29" customFormat="false" ht="15" hidden="false" customHeight="false" outlineLevel="0" collapsed="false">
      <c r="A29" s="4" t="n">
        <v>2016</v>
      </c>
      <c r="B29" s="5" t="n">
        <v>18711477.5886937</v>
      </c>
      <c r="C29" s="5" t="n">
        <v>18501415.11266</v>
      </c>
      <c r="D29" s="15" t="n">
        <f aca="false">(B29-C29)/C29</f>
        <v>0.0113538599482539</v>
      </c>
    </row>
    <row r="30" customFormat="false" ht="15" hidden="false" customHeight="false" outlineLevel="0" collapsed="false">
      <c r="A30" s="4" t="n">
        <v>2017</v>
      </c>
      <c r="B30" s="5" t="n">
        <v>25169184.8799823</v>
      </c>
      <c r="C30" s="5" t="n">
        <v>25231058.5674153</v>
      </c>
      <c r="D30" s="15" t="n">
        <f aca="false">(B30-C30)/C30</f>
        <v>-0.00245228266058226</v>
      </c>
    </row>
    <row r="31" customFormat="false" ht="15" hidden="false" customHeight="false" outlineLevel="0" collapsed="false">
      <c r="A31" s="4" t="n">
        <v>2018</v>
      </c>
      <c r="B31" s="5" t="n">
        <v>8417931.91829023</v>
      </c>
      <c r="C31" s="5" t="n">
        <v>8783262.16312247</v>
      </c>
      <c r="D31" s="15" t="n">
        <f aca="false">(B31-C31)/C31</f>
        <v>-0.0415939132918203</v>
      </c>
    </row>
    <row r="32" customFormat="false" ht="15" hidden="false" customHeight="false" outlineLevel="0" collapsed="false">
      <c r="A32" s="4" t="n">
        <v>2019</v>
      </c>
      <c r="B32" s="5" t="n">
        <v>19370851.5523354</v>
      </c>
      <c r="C32" s="5" t="n">
        <v>17455836.6452917</v>
      </c>
      <c r="D32" s="15" t="n">
        <f aca="false">(B32-C32)/C32</f>
        <v>0.109706280252129</v>
      </c>
    </row>
    <row r="33" customFormat="false" ht="15" hidden="false" customHeight="false" outlineLevel="0" collapsed="false">
      <c r="A33" s="4" t="n">
        <v>2020</v>
      </c>
      <c r="B33" s="5" t="n">
        <v>26558977.4534759</v>
      </c>
      <c r="C33" s="5" t="n">
        <v>27881572.2134474</v>
      </c>
      <c r="D33" s="15" t="n">
        <f aca="false">(B33-C33)/C33</f>
        <v>-0.0474361614132214</v>
      </c>
    </row>
    <row r="34" customFormat="false" ht="15" hidden="false" customHeight="false" outlineLevel="0" collapsed="false">
      <c r="A34" s="4" t="n">
        <v>2021</v>
      </c>
      <c r="B34" s="5" t="n">
        <v>22941617.6978234</v>
      </c>
      <c r="C34" s="5" t="n">
        <v>24882015.5931071</v>
      </c>
      <c r="D34" s="15" t="n">
        <f aca="false">(B34-C34)/C34</f>
        <v>-0.0779839514215736</v>
      </c>
    </row>
    <row r="35" customFormat="false" ht="15" hidden="false" customHeight="false" outlineLevel="0" collapsed="false">
      <c r="A35" s="4" t="n">
        <v>2022</v>
      </c>
      <c r="B35" s="5" t="n">
        <v>26456681.3179061</v>
      </c>
      <c r="C35" s="5" t="n">
        <v>26529065.6813978</v>
      </c>
      <c r="D35" s="15" t="n">
        <f aca="false">(B35-C35)/C35</f>
        <v>-0.00272849275436398</v>
      </c>
    </row>
    <row r="36" customFormat="false" ht="15" hidden="false" customHeight="false" outlineLevel="0" collapsed="false">
      <c r="A36" s="4" t="n">
        <v>2023</v>
      </c>
      <c r="B36" s="5" t="n">
        <v>39550475.3281431</v>
      </c>
      <c r="C36" s="5" t="n">
        <v>34253042.1266656</v>
      </c>
      <c r="D36" s="15" t="n">
        <f aca="false">(B36-C36)/C36</f>
        <v>0.154655845804527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8"/>
  </cols>
  <sheetData>
    <row r="1" customFormat="false" ht="24" hidden="false" customHeight="true" outlineLevel="0" collapsed="false">
      <c r="A1" s="1" t="s">
        <v>86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" t="s">
        <v>59</v>
      </c>
      <c r="B3" s="3" t="s">
        <v>87</v>
      </c>
      <c r="C3" s="3" t="s">
        <v>88</v>
      </c>
      <c r="D3" s="3" t="s">
        <v>89</v>
      </c>
      <c r="E3" s="3" t="s">
        <v>55</v>
      </c>
      <c r="F3" s="3" t="s">
        <v>90</v>
      </c>
      <c r="G3" s="3" t="s">
        <v>91</v>
      </c>
    </row>
    <row r="4" customFormat="false" ht="15" hidden="false" customHeight="false" outlineLevel="0" collapsed="false">
      <c r="A4" s="4" t="n">
        <v>2014</v>
      </c>
      <c r="B4" s="4" t="n">
        <v>15</v>
      </c>
      <c r="C4" s="5" t="n">
        <v>8043945.68827788</v>
      </c>
      <c r="D4" s="5" t="n">
        <v>0</v>
      </c>
      <c r="E4" s="5" t="n">
        <v>143456190</v>
      </c>
      <c r="F4" s="6" t="n">
        <f aca="false">C4/E4</f>
        <v>0.0560724893661116</v>
      </c>
      <c r="G4" s="6" t="n">
        <f aca="false">D4/E4</f>
        <v>0</v>
      </c>
    </row>
    <row r="5" customFormat="false" ht="15" hidden="false" customHeight="false" outlineLevel="0" collapsed="false">
      <c r="A5" s="4" t="n">
        <v>2015</v>
      </c>
      <c r="B5" s="4" t="n">
        <v>13</v>
      </c>
      <c r="C5" s="5" t="n">
        <v>6469424.45851496</v>
      </c>
      <c r="D5" s="5" t="n">
        <v>0</v>
      </c>
      <c r="E5" s="5" t="n">
        <v>147788566.938</v>
      </c>
      <c r="F5" s="6" t="n">
        <f aca="false">C5/E5</f>
        <v>0.0437748642709893</v>
      </c>
      <c r="G5" s="6" t="n">
        <f aca="false">D5/E5</f>
        <v>0</v>
      </c>
    </row>
    <row r="6" customFormat="false" ht="15" hidden="false" customHeight="false" outlineLevel="0" collapsed="false">
      <c r="A6" s="4" t="n">
        <v>2016</v>
      </c>
      <c r="B6" s="4" t="n">
        <v>11</v>
      </c>
      <c r="C6" s="5" t="n">
        <v>1014073.10232146</v>
      </c>
      <c r="D6" s="5" t="n">
        <v>0</v>
      </c>
      <c r="E6" s="5" t="n">
        <v>155266668.425063</v>
      </c>
      <c r="F6" s="6" t="n">
        <f aca="false">C6/E6</f>
        <v>0.0065311706150949</v>
      </c>
      <c r="G6" s="6" t="n">
        <f aca="false">D6/E6</f>
        <v>0</v>
      </c>
    </row>
    <row r="7" customFormat="false" ht="15" hidden="false" customHeight="false" outlineLevel="0" collapsed="false">
      <c r="A7" s="4" t="n">
        <v>2017</v>
      </c>
      <c r="B7" s="4" t="n">
        <v>15</v>
      </c>
      <c r="C7" s="5" t="n">
        <v>4189804.05240835</v>
      </c>
      <c r="D7" s="5" t="n">
        <v>0</v>
      </c>
      <c r="E7" s="5" t="n">
        <v>163123161.847371</v>
      </c>
      <c r="F7" s="6" t="n">
        <f aca="false">C7/E7</f>
        <v>0.0256849119705552</v>
      </c>
      <c r="G7" s="6" t="n">
        <f aca="false">D7/E7</f>
        <v>0</v>
      </c>
    </row>
    <row r="8" customFormat="false" ht="15" hidden="false" customHeight="false" outlineLevel="0" collapsed="false">
      <c r="A8" s="4" t="n">
        <v>2018</v>
      </c>
      <c r="B8" s="4" t="n">
        <v>6</v>
      </c>
      <c r="C8" s="5" t="n">
        <v>1105194.6511891</v>
      </c>
      <c r="D8" s="5" t="n">
        <v>0</v>
      </c>
      <c r="E8" s="5" t="n">
        <v>168049481.335162</v>
      </c>
      <c r="F8" s="6" t="n">
        <f aca="false">C8/E8</f>
        <v>0.00657660257210119</v>
      </c>
      <c r="G8" s="6" t="n">
        <f aca="false">D8/E8</f>
        <v>0</v>
      </c>
    </row>
    <row r="9" customFormat="false" ht="15" hidden="false" customHeight="false" outlineLevel="0" collapsed="false">
      <c r="A9" s="4" t="n">
        <v>2019</v>
      </c>
      <c r="B9" s="4" t="n">
        <v>10</v>
      </c>
      <c r="C9" s="5" t="n">
        <v>1852600.97844741</v>
      </c>
      <c r="D9" s="5" t="n">
        <v>0</v>
      </c>
      <c r="E9" s="5" t="n">
        <v>176552785.090721</v>
      </c>
      <c r="F9" s="6" t="n">
        <f aca="false">C9/E9</f>
        <v>0.0104931846727621</v>
      </c>
      <c r="G9" s="6" t="n">
        <f aca="false">D9/E9</f>
        <v>0</v>
      </c>
    </row>
    <row r="10" customFormat="false" ht="15" hidden="false" customHeight="false" outlineLevel="0" collapsed="false">
      <c r="A10" s="4" t="n">
        <v>2020</v>
      </c>
      <c r="B10" s="4" t="n">
        <v>6</v>
      </c>
      <c r="C10" s="5" t="n">
        <v>13313065.6031772</v>
      </c>
      <c r="D10" s="5" t="n">
        <v>3029150.81223193</v>
      </c>
      <c r="E10" s="5" t="n">
        <v>180101496.071044</v>
      </c>
      <c r="F10" s="6" t="n">
        <f aca="false">C10/E10</f>
        <v>0.0739197946358294</v>
      </c>
      <c r="G10" s="6" t="n">
        <f aca="false">D10/E10</f>
        <v>0.0168191318690492</v>
      </c>
    </row>
    <row r="11" customFormat="false" ht="15" hidden="false" customHeight="false" outlineLevel="0" collapsed="false">
      <c r="A11" s="4" t="n">
        <v>2021</v>
      </c>
      <c r="B11" s="4" t="n">
        <v>16</v>
      </c>
      <c r="C11" s="5" t="n">
        <v>1334394.10233912</v>
      </c>
      <c r="D11" s="5" t="n">
        <v>0</v>
      </c>
      <c r="E11" s="5" t="n">
        <v>185540561.25239</v>
      </c>
      <c r="F11" s="6" t="n">
        <f aca="false">C11/E11</f>
        <v>0.00719192662419485</v>
      </c>
      <c r="G11" s="6" t="n">
        <f aca="false">D11/E11</f>
        <v>0</v>
      </c>
    </row>
    <row r="12" customFormat="false" ht="15" hidden="false" customHeight="false" outlineLevel="0" collapsed="false">
      <c r="A12" s="4" t="n">
        <v>2022</v>
      </c>
      <c r="B12" s="4" t="n">
        <v>13</v>
      </c>
      <c r="C12" s="5" t="n">
        <v>8293066.38897791</v>
      </c>
      <c r="D12" s="5" t="n">
        <v>0</v>
      </c>
      <c r="E12" s="5" t="n">
        <v>193036399.926986</v>
      </c>
      <c r="F12" s="6" t="n">
        <f aca="false">C12/E12</f>
        <v>0.0429611533996421</v>
      </c>
      <c r="G12" s="6" t="n">
        <f aca="false">D12/E12</f>
        <v>0</v>
      </c>
    </row>
    <row r="13" customFormat="false" ht="15" hidden="false" customHeight="false" outlineLevel="0" collapsed="false">
      <c r="A13" s="4" t="n">
        <v>2023</v>
      </c>
      <c r="B13" s="4" t="n">
        <v>9</v>
      </c>
      <c r="C13" s="5" t="n">
        <v>11086045.426017</v>
      </c>
      <c r="D13" s="5" t="n">
        <v>12314818.0628831</v>
      </c>
      <c r="E13" s="5" t="n">
        <v>214463440.318882</v>
      </c>
      <c r="F13" s="6" t="n">
        <f aca="false">C13/E13</f>
        <v>0.0516920059173413</v>
      </c>
      <c r="G13" s="6" t="n">
        <f aca="false">D13/E13</f>
        <v>0.0574215262264394</v>
      </c>
    </row>
    <row r="14" customFormat="false" ht="15" hidden="false" customHeight="false" outlineLevel="0" collapsed="false">
      <c r="A14" s="16" t="s">
        <v>92</v>
      </c>
      <c r="B14" s="16" t="n">
        <f aca="false">SUM(B4:B13)</f>
        <v>114</v>
      </c>
      <c r="C14" s="17" t="n">
        <f aca="false">SUM(C4:C13)</f>
        <v>56701614.4516704</v>
      </c>
      <c r="D14" s="17" t="n">
        <f aca="false">SUM(D4:D13)</f>
        <v>15343968.875115</v>
      </c>
      <c r="E14" s="17" t="n">
        <f aca="false">SUM(E4:E13)</f>
        <v>1727378751.20562</v>
      </c>
      <c r="F14" s="18" t="n">
        <f aca="false">C14/E14</f>
        <v>0.0328252355843185</v>
      </c>
      <c r="G14" s="18" t="n">
        <f aca="false">D14/E14</f>
        <v>0.00888280515457641</v>
      </c>
    </row>
    <row r="16" customFormat="false" ht="15" hidden="false" customHeight="false" outlineLevel="0" collapsed="false">
      <c r="A16" s="2" t="s">
        <v>93</v>
      </c>
      <c r="B16" s="7" t="n">
        <v>229690344.58</v>
      </c>
    </row>
    <row r="17" customFormat="false" ht="15" hidden="false" customHeight="false" outlineLevel="0" collapsed="false">
      <c r="A17" s="2" t="s">
        <v>16</v>
      </c>
      <c r="B17" s="7" t="n">
        <f aca="false">F14*B16</f>
        <v>7539639.6722818</v>
      </c>
    </row>
    <row r="18" customFormat="false" ht="15" hidden="false" customHeight="false" outlineLevel="0" collapsed="false">
      <c r="A18" s="2" t="s">
        <v>17</v>
      </c>
      <c r="B18" s="7" t="n">
        <f aca="false">G14*B16</f>
        <v>2040294.57679166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20"/>
  </cols>
  <sheetData>
    <row r="1" customFormat="false" ht="24" hidden="false" customHeight="true" outlineLevel="0" collapsed="false">
      <c r="A1" s="1" t="s">
        <v>94</v>
      </c>
      <c r="B1" s="1"/>
      <c r="C1" s="1"/>
      <c r="D1" s="1"/>
      <c r="E1" s="1"/>
      <c r="F1" s="1"/>
      <c r="G1" s="1"/>
      <c r="H1" s="1"/>
    </row>
    <row r="3" customFormat="false" ht="23.85" hidden="false" customHeight="false" outlineLevel="0" collapsed="false">
      <c r="A3" s="3" t="s">
        <v>54</v>
      </c>
      <c r="B3" s="3" t="s">
        <v>95</v>
      </c>
    </row>
    <row r="4" customFormat="false" ht="15" hidden="false" customHeight="false" outlineLevel="0" collapsed="false">
      <c r="A4" s="4" t="n">
        <v>2014</v>
      </c>
      <c r="B4" s="14" t="n">
        <v>100</v>
      </c>
    </row>
    <row r="5" customFormat="false" ht="15" hidden="false" customHeight="false" outlineLevel="0" collapsed="false">
      <c r="A5" s="4" t="n">
        <v>2015</v>
      </c>
      <c r="B5" s="14" t="n">
        <v>101.34</v>
      </c>
    </row>
    <row r="6" customFormat="false" ht="15" hidden="false" customHeight="false" outlineLevel="0" collapsed="false">
      <c r="A6" s="4" t="n">
        <v>2016</v>
      </c>
      <c r="B6" s="14" t="n">
        <v>102.920904</v>
      </c>
    </row>
    <row r="7" customFormat="false" ht="15" hidden="false" customHeight="false" outlineLevel="0" collapsed="false">
      <c r="A7" s="4" t="n">
        <v>2017</v>
      </c>
      <c r="B7" s="14" t="n">
        <v>105.9776548488</v>
      </c>
    </row>
    <row r="8" customFormat="false" ht="15" hidden="false" customHeight="false" outlineLevel="0" collapsed="false">
      <c r="A8" s="4" t="n">
        <v>2018</v>
      </c>
      <c r="B8" s="14" t="n">
        <v>109.294755445568</v>
      </c>
    </row>
    <row r="9" customFormat="false" ht="15" hidden="false" customHeight="false" outlineLevel="0" collapsed="false">
      <c r="A9" s="4" t="n">
        <v>2019</v>
      </c>
      <c r="B9" s="14" t="n">
        <v>112.628245486657</v>
      </c>
    </row>
    <row r="10" customFormat="false" ht="15" hidden="false" customHeight="false" outlineLevel="0" collapsed="false">
      <c r="A10" s="4" t="n">
        <v>2020</v>
      </c>
      <c r="B10" s="14" t="n">
        <v>115.376374676532</v>
      </c>
    </row>
    <row r="11" customFormat="false" ht="15" hidden="false" customHeight="false" outlineLevel="0" collapsed="false">
      <c r="A11" s="4" t="n">
        <v>2021</v>
      </c>
      <c r="B11" s="14" t="n">
        <v>117.383923595903</v>
      </c>
    </row>
    <row r="12" customFormat="false" ht="15" hidden="false" customHeight="false" outlineLevel="0" collapsed="false">
      <c r="A12" s="4" t="n">
        <v>2022</v>
      </c>
      <c r="B12" s="14" t="n">
        <v>121.421930567602</v>
      </c>
    </row>
    <row r="13" customFormat="false" ht="15" hidden="false" customHeight="false" outlineLevel="0" collapsed="false">
      <c r="A13" s="4" t="n">
        <v>2023</v>
      </c>
      <c r="B13" s="14" t="n">
        <v>134.280513014712</v>
      </c>
    </row>
    <row r="14" customFormat="false" ht="15" hidden="false" customHeight="false" outlineLevel="0" collapsed="false">
      <c r="A14" s="4" t="n">
        <v>2024</v>
      </c>
      <c r="B14" s="14" t="n">
        <v>141.486005343081</v>
      </c>
    </row>
    <row r="16" customFormat="false" ht="15" hidden="false" customHeight="false" outlineLevel="0" collapsed="false">
      <c r="A16" s="13" t="s">
        <v>96</v>
      </c>
    </row>
    <row r="17" customFormat="false" ht="23.85" hidden="false" customHeight="false" outlineLevel="0" collapsed="false">
      <c r="A17" s="3" t="s">
        <v>59</v>
      </c>
      <c r="B17" s="3" t="s">
        <v>87</v>
      </c>
      <c r="C17" s="3" t="s">
        <v>97</v>
      </c>
      <c r="D17" s="3" t="s">
        <v>98</v>
      </c>
      <c r="E17" s="3" t="s">
        <v>99</v>
      </c>
      <c r="F17" s="3" t="s">
        <v>90</v>
      </c>
      <c r="G17" s="3" t="s">
        <v>91</v>
      </c>
    </row>
    <row r="18" customFormat="false" ht="15" hidden="false" customHeight="false" outlineLevel="0" collapsed="false">
      <c r="A18" s="4" t="n">
        <v>2014</v>
      </c>
      <c r="B18" s="4" t="n">
        <v>15</v>
      </c>
      <c r="C18" s="5" t="n">
        <v>14493527.7715653</v>
      </c>
      <c r="D18" s="5" t="n">
        <v>896685.416242035</v>
      </c>
      <c r="E18" s="5" t="n">
        <v>202970432.64838</v>
      </c>
      <c r="F18" s="6" t="n">
        <f aca="false">C18/E18</f>
        <v>0.0714070891136812</v>
      </c>
      <c r="G18" s="6" t="n">
        <f aca="false">D18/E18</f>
        <v>0.00441781300134205</v>
      </c>
    </row>
    <row r="19" customFormat="false" ht="15" hidden="false" customHeight="false" outlineLevel="0" collapsed="false">
      <c r="A19" s="4" t="n">
        <v>2015</v>
      </c>
      <c r="B19" s="4" t="n">
        <v>13</v>
      </c>
      <c r="C19" s="5" t="n">
        <v>12796318.2666436</v>
      </c>
      <c r="D19" s="5" t="n">
        <v>0</v>
      </c>
      <c r="E19" s="5" t="n">
        <v>206335247.399212</v>
      </c>
      <c r="F19" s="6" t="n">
        <f aca="false">C19/E19</f>
        <v>0.0620171222703682</v>
      </c>
      <c r="G19" s="6" t="n">
        <f aca="false">D19/E19</f>
        <v>0</v>
      </c>
    </row>
    <row r="20" customFormat="false" ht="15" hidden="false" customHeight="false" outlineLevel="0" collapsed="false">
      <c r="A20" s="4" t="n">
        <v>2016</v>
      </c>
      <c r="B20" s="4" t="n">
        <v>11</v>
      </c>
      <c r="C20" s="5" t="n">
        <v>3555243.16098544</v>
      </c>
      <c r="D20" s="5" t="n">
        <v>0</v>
      </c>
      <c r="E20" s="5" t="n">
        <v>213446052.498634</v>
      </c>
      <c r="F20" s="6" t="n">
        <f aca="false">C20/E20</f>
        <v>0.0166564015561178</v>
      </c>
      <c r="G20" s="6" t="n">
        <f aca="false">D20/E20</f>
        <v>0</v>
      </c>
    </row>
    <row r="21" customFormat="false" ht="15" hidden="false" customHeight="false" outlineLevel="0" collapsed="false">
      <c r="A21" s="4" t="n">
        <v>2017</v>
      </c>
      <c r="B21" s="4" t="n">
        <v>15</v>
      </c>
      <c r="C21" s="5" t="n">
        <v>7483513.43496598</v>
      </c>
      <c r="D21" s="5" t="n">
        <v>0</v>
      </c>
      <c r="E21" s="5" t="n">
        <v>217778404.151757</v>
      </c>
      <c r="F21" s="6" t="n">
        <f aca="false">C21/E21</f>
        <v>0.0343629730602266</v>
      </c>
      <c r="G21" s="6" t="n">
        <f aca="false">D21/E21</f>
        <v>0</v>
      </c>
    </row>
    <row r="22" customFormat="false" ht="15" hidden="false" customHeight="false" outlineLevel="0" collapsed="false">
      <c r="A22" s="4" t="n">
        <v>2018</v>
      </c>
      <c r="B22" s="4" t="n">
        <v>6</v>
      </c>
      <c r="C22" s="5" t="n">
        <v>2087088.70762403</v>
      </c>
      <c r="D22" s="5" t="n">
        <v>0</v>
      </c>
      <c r="E22" s="5" t="n">
        <v>217546118.449666</v>
      </c>
      <c r="F22" s="6" t="n">
        <f aca="false">C22/E22</f>
        <v>0.00959377589679641</v>
      </c>
      <c r="G22" s="6" t="n">
        <f aca="false">D22/E22</f>
        <v>0</v>
      </c>
    </row>
    <row r="23" customFormat="false" ht="15" hidden="false" customHeight="false" outlineLevel="0" collapsed="false">
      <c r="A23" s="4" t="n">
        <v>2019</v>
      </c>
      <c r="B23" s="4" t="n">
        <v>10</v>
      </c>
      <c r="C23" s="5" t="n">
        <v>3985835.03974987</v>
      </c>
      <c r="D23" s="5" t="n">
        <v>0</v>
      </c>
      <c r="E23" s="5" t="n">
        <v>221789376.072993</v>
      </c>
      <c r="F23" s="6" t="n">
        <f aca="false">C23/E23</f>
        <v>0.0179712622413352</v>
      </c>
      <c r="G23" s="6" t="n">
        <f aca="false">D23/E23</f>
        <v>0</v>
      </c>
    </row>
    <row r="24" customFormat="false" ht="15" hidden="false" customHeight="false" outlineLevel="0" collapsed="false">
      <c r="A24" s="4" t="n">
        <v>2020</v>
      </c>
      <c r="B24" s="4" t="n">
        <v>6</v>
      </c>
      <c r="C24" s="5" t="n">
        <v>14484265.3490601</v>
      </c>
      <c r="D24" s="5" t="n">
        <v>4691261.76434087</v>
      </c>
      <c r="E24" s="5" t="n">
        <v>220858397.62989</v>
      </c>
      <c r="F24" s="6" t="n">
        <f aca="false">C24/E24</f>
        <v>0.0655816826731329</v>
      </c>
      <c r="G24" s="6" t="n">
        <f aca="false">D24/E24</f>
        <v>0.021241038668597</v>
      </c>
    </row>
    <row r="25" customFormat="false" ht="15" hidden="false" customHeight="false" outlineLevel="0" collapsed="false">
      <c r="A25" s="4" t="n">
        <v>2021</v>
      </c>
      <c r="B25" s="4" t="n">
        <v>16</v>
      </c>
      <c r="C25" s="5" t="n">
        <v>2470365.15524006</v>
      </c>
      <c r="D25" s="5" t="n">
        <v>0</v>
      </c>
      <c r="E25" s="5" t="n">
        <v>223637036.798028</v>
      </c>
      <c r="F25" s="6" t="n">
        <f aca="false">C25/E25</f>
        <v>0.0110463150049297</v>
      </c>
      <c r="G25" s="6" t="n">
        <f aca="false">D25/E25</f>
        <v>0</v>
      </c>
    </row>
    <row r="26" customFormat="false" ht="15" hidden="false" customHeight="false" outlineLevel="0" collapsed="false">
      <c r="A26" s="4" t="n">
        <v>2022</v>
      </c>
      <c r="B26" s="4" t="n">
        <v>13</v>
      </c>
      <c r="C26" s="5" t="n">
        <v>9628433.43604456</v>
      </c>
      <c r="D26" s="5" t="n">
        <v>0</v>
      </c>
      <c r="E26" s="5" t="n">
        <v>224934235.387343</v>
      </c>
      <c r="F26" s="6" t="n">
        <f aca="false">C26/E26</f>
        <v>0.0428055490061979</v>
      </c>
      <c r="G26" s="6" t="n">
        <f aca="false">D26/E26</f>
        <v>0</v>
      </c>
    </row>
    <row r="27" customFormat="false" ht="15" hidden="false" customHeight="false" outlineLevel="0" collapsed="false">
      <c r="A27" s="4" t="n">
        <v>2023</v>
      </c>
      <c r="B27" s="4" t="n">
        <v>9</v>
      </c>
      <c r="C27" s="5" t="n">
        <v>11466282.6235771</v>
      </c>
      <c r="D27" s="5" t="n">
        <v>13512231.2001374</v>
      </c>
      <c r="E27" s="5" t="n">
        <v>225971548.526393</v>
      </c>
      <c r="F27" s="6" t="n">
        <f aca="false">C27/E27</f>
        <v>0.0507421518255332</v>
      </c>
      <c r="G27" s="6" t="n">
        <f aca="false">D27/E27</f>
        <v>0.0597961614559596</v>
      </c>
    </row>
    <row r="28" customFormat="false" ht="15" hidden="false" customHeight="false" outlineLevel="0" collapsed="false">
      <c r="A28" s="16" t="s">
        <v>92</v>
      </c>
      <c r="B28" s="16" t="n">
        <f aca="false">SUM(B18:B27)</f>
        <v>114</v>
      </c>
      <c r="C28" s="17" t="n">
        <f aca="false">SUM(C18:C27)</f>
        <v>82450872.945456</v>
      </c>
      <c r="D28" s="17" t="n">
        <f aca="false">SUM(D18:D27)</f>
        <v>19100178.3807203</v>
      </c>
      <c r="E28" s="17" t="n">
        <f aca="false">SUM(E18:E27)</f>
        <v>2175266849.5623</v>
      </c>
      <c r="F28" s="18" t="n">
        <f aca="false">C28/E28</f>
        <v>0.0379037969350963</v>
      </c>
      <c r="G28" s="18" t="n">
        <f aca="false">D28/E28</f>
        <v>0.00878061392079948</v>
      </c>
    </row>
    <row r="30" customFormat="false" ht="15" hidden="false" customHeight="false" outlineLevel="0" collapsed="false">
      <c r="A30" s="2" t="s">
        <v>93</v>
      </c>
      <c r="B30" s="7" t="n">
        <v>229690344.58</v>
      </c>
    </row>
    <row r="31" customFormat="false" ht="15" hidden="false" customHeight="false" outlineLevel="0" collapsed="false">
      <c r="A31" s="2" t="s">
        <v>16</v>
      </c>
      <c r="B31" s="7" t="n">
        <f aca="false">F28*B30</f>
        <v>8706136.17891263</v>
      </c>
    </row>
    <row r="32" customFormat="false" ht="15" hidden="false" customHeight="false" outlineLevel="0" collapsed="false">
      <c r="A32" s="2" t="s">
        <v>17</v>
      </c>
      <c r="B32" s="7" t="n">
        <f aca="false">G28*B30</f>
        <v>2016822.23709238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</cols>
  <sheetData>
    <row r="1" customFormat="false" ht="24" hidden="false" customHeight="true" outlineLevel="0" collapsed="false">
      <c r="A1" s="1" t="s">
        <v>100</v>
      </c>
      <c r="B1" s="1"/>
      <c r="C1" s="1"/>
      <c r="D1" s="1"/>
    </row>
    <row r="3" customFormat="false" ht="15" hidden="false" customHeight="false" outlineLevel="0" collapsed="false">
      <c r="A3" s="3" t="s">
        <v>101</v>
      </c>
      <c r="B3" s="3" t="s">
        <v>102</v>
      </c>
    </row>
    <row r="4" customFormat="false" ht="15" hidden="false" customHeight="false" outlineLevel="0" collapsed="false">
      <c r="A4" s="4" t="s">
        <v>103</v>
      </c>
      <c r="B4" s="4" t="s">
        <v>104</v>
      </c>
    </row>
    <row r="5" customFormat="false" ht="15" hidden="false" customHeight="false" outlineLevel="0" collapsed="false">
      <c r="A5" s="4" t="s">
        <v>105</v>
      </c>
      <c r="B5" s="4" t="n">
        <v>44</v>
      </c>
    </row>
    <row r="6" customFormat="false" ht="15" hidden="false" customHeight="false" outlineLevel="0" collapsed="false">
      <c r="A6" s="4" t="s">
        <v>106</v>
      </c>
      <c r="B6" s="4" t="n">
        <v>0.5434</v>
      </c>
    </row>
    <row r="7" customFormat="false" ht="15" hidden="false" customHeight="false" outlineLevel="0" collapsed="false">
      <c r="A7" s="4" t="s">
        <v>107</v>
      </c>
      <c r="B7" s="4" t="n">
        <v>750373</v>
      </c>
    </row>
    <row r="8" customFormat="false" ht="15" hidden="false" customHeight="false" outlineLevel="0" collapsed="false">
      <c r="A8" s="4" t="s">
        <v>108</v>
      </c>
      <c r="B8" s="4" t="n">
        <v>4.4</v>
      </c>
    </row>
    <row r="9" customFormat="false" ht="15" hidden="false" customHeight="false" outlineLevel="0" collapsed="false">
      <c r="A9" s="4" t="s">
        <v>109</v>
      </c>
      <c r="B9" s="4" t="n">
        <v>1.315</v>
      </c>
    </row>
    <row r="10" customFormat="false" ht="15" hidden="false" customHeight="false" outlineLevel="0" collapsed="false">
      <c r="A10" s="4" t="s">
        <v>110</v>
      </c>
      <c r="B10" s="4" t="n">
        <v>0.203</v>
      </c>
    </row>
    <row r="11" customFormat="false" ht="15" hidden="false" customHeight="false" outlineLevel="0" collapsed="false">
      <c r="A11" s="4" t="s">
        <v>111</v>
      </c>
      <c r="B11" s="4" t="n">
        <v>5.785</v>
      </c>
    </row>
    <row r="12" customFormat="false" ht="15" hidden="false" customHeight="false" outlineLevel="0" collapsed="false">
      <c r="A12" s="4" t="s">
        <v>112</v>
      </c>
      <c r="B12" s="4" t="n">
        <v>0.892</v>
      </c>
    </row>
    <row r="13" customFormat="false" ht="15" hidden="false" customHeight="false" outlineLevel="0" collapsed="false">
      <c r="A13" s="4" t="s">
        <v>113</v>
      </c>
      <c r="B13" s="4" t="n">
        <v>6.347</v>
      </c>
    </row>
    <row r="14" customFormat="false" ht="15" hidden="false" customHeight="false" outlineLevel="0" collapsed="false">
      <c r="A14" s="4" t="s">
        <v>114</v>
      </c>
      <c r="B14" s="4" t="n">
        <v>0.978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2"/>
    <col collapsed="false" customWidth="true" hidden="false" outlineLevel="0" max="4" min="4" style="0" width="40"/>
  </cols>
  <sheetData>
    <row r="1" customFormat="false" ht="24" hidden="false" customHeight="true" outlineLevel="0" collapsed="false">
      <c r="A1" s="1" t="s">
        <v>115</v>
      </c>
      <c r="B1" s="1"/>
      <c r="C1" s="1"/>
      <c r="D1" s="1"/>
    </row>
    <row r="3" customFormat="false" ht="15" hidden="false" customHeight="false" outlineLevel="0" collapsed="false">
      <c r="A3" s="3" t="s">
        <v>116</v>
      </c>
      <c r="B3" s="3" t="s">
        <v>117</v>
      </c>
      <c r="C3" s="3" t="s">
        <v>118</v>
      </c>
      <c r="D3" s="3" t="s">
        <v>119</v>
      </c>
    </row>
    <row r="4" customFormat="false" ht="15" hidden="false" customHeight="false" outlineLevel="0" collapsed="false">
      <c r="A4" s="4" t="s">
        <v>120</v>
      </c>
      <c r="B4" s="5" t="n">
        <v>8706136.17897036</v>
      </c>
      <c r="C4" s="5" t="n">
        <v>2016822.23710575</v>
      </c>
      <c r="D4" s="4" t="s">
        <v>121</v>
      </c>
    </row>
    <row r="5" customFormat="false" ht="15" hidden="false" customHeight="false" outlineLevel="0" collapsed="false">
      <c r="A5" s="4" t="s">
        <v>122</v>
      </c>
      <c r="B5" s="5" t="n">
        <v>1493177.90413779</v>
      </c>
      <c r="C5" s="5" t="n">
        <v>1299656.46332291</v>
      </c>
      <c r="D5" s="4" t="s">
        <v>123</v>
      </c>
    </row>
    <row r="6" customFormat="false" ht="15" hidden="false" customHeight="false" outlineLevel="0" collapsed="false">
      <c r="A6" s="16" t="s">
        <v>124</v>
      </c>
      <c r="B6" s="17" t="n">
        <f aca="false">B4+B5</f>
        <v>10199314.0831081</v>
      </c>
      <c r="C6" s="17" t="n">
        <f aca="false">C4+C5</f>
        <v>3316478.70042866</v>
      </c>
      <c r="D6" s="16" t="s">
        <v>125</v>
      </c>
    </row>
    <row r="7" customFormat="false" ht="15" hidden="false" customHeight="false" outlineLevel="0" collapsed="false">
      <c r="A7" s="16" t="s">
        <v>126</v>
      </c>
      <c r="B7" s="17" t="n">
        <f aca="false">B6*0.06</f>
        <v>611958.844986489</v>
      </c>
      <c r="C7" s="17" t="n">
        <f aca="false">C6*0.06</f>
        <v>198988.722025719</v>
      </c>
      <c r="D7" s="16" t="s">
        <v>127</v>
      </c>
    </row>
    <row r="8" customFormat="false" ht="15" hidden="false" customHeight="false" outlineLevel="0" collapsed="false">
      <c r="A8" s="16" t="s">
        <v>128</v>
      </c>
      <c r="B8" s="17" t="n">
        <f aca="false">B6+B7</f>
        <v>10811272.9280946</v>
      </c>
      <c r="C8" s="17" t="n">
        <f aca="false">C6+C7</f>
        <v>3515467.42245438</v>
      </c>
      <c r="D8" s="16"/>
    </row>
    <row r="9" customFormat="false" ht="15" hidden="false" customHeight="false" outlineLevel="0" collapsed="false">
      <c r="A9" s="4" t="s">
        <v>129</v>
      </c>
      <c r="B9" s="5" t="n">
        <f aca="false">B8/(1-0.05)</f>
        <v>11380287.2927312</v>
      </c>
      <c r="C9" s="5" t="n">
        <f aca="false">C8/(1-0.05)</f>
        <v>3700492.02363619</v>
      </c>
      <c r="D9" s="4" t="s">
        <v>130</v>
      </c>
    </row>
    <row r="10" customFormat="false" ht="15" hidden="false" customHeight="false" outlineLevel="0" collapsed="false">
      <c r="A10" s="16" t="s">
        <v>131</v>
      </c>
      <c r="B10" s="17" t="n">
        <f aca="false">B9</f>
        <v>11380287.2927312</v>
      </c>
      <c r="C10" s="17" t="n">
        <f aca="false">C9</f>
        <v>3700492.02363619</v>
      </c>
      <c r="D10" s="16" t="s">
        <v>132</v>
      </c>
    </row>
    <row r="12" customFormat="false" ht="15" hidden="false" customHeight="false" outlineLevel="0" collapsed="false">
      <c r="A12" s="2" t="s">
        <v>133</v>
      </c>
      <c r="B12" s="7" t="n">
        <v>229690344.58</v>
      </c>
    </row>
    <row r="13" customFormat="false" ht="15" hidden="false" customHeight="false" outlineLevel="0" collapsed="false">
      <c r="A13" s="2" t="s">
        <v>134</v>
      </c>
      <c r="B13" s="9" t="n">
        <f aca="false">B10/B12</f>
        <v>0.0495462154212037</v>
      </c>
    </row>
    <row r="14" customFormat="false" ht="15" hidden="false" customHeight="false" outlineLevel="0" collapsed="false">
      <c r="A14" s="2" t="s">
        <v>135</v>
      </c>
      <c r="B14" s="9" t="n">
        <f aca="false">C10/B12</f>
        <v>0.0161107861560429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2026-05-11T08:50:57Z</dcterms:created>
  <dc:creator>openpyxl</dc:creator>
  <dc:description/>
  <dc:language>en-US</dc:language>
  <cp:lastModifiedBy/>
  <dcterms:modified xsi:type="dcterms:W3CDTF">2026-05-11T08:50:57Z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